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power density\"/>
    </mc:Choice>
  </mc:AlternateContent>
  <xr:revisionPtr revIDLastSave="0" documentId="13_ncr:1_{41A6CD7F-3FB4-490B-AD77-0EFB7F23AD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F2" i="1"/>
  <c r="F3" i="1"/>
  <c r="F4" i="1"/>
  <c r="F5" i="1"/>
  <c r="F6" i="1"/>
  <c r="F7" i="1"/>
  <c r="F8" i="1"/>
  <c r="F9" i="1"/>
  <c r="F10" i="1"/>
</calcChain>
</file>

<file path=xl/sharedStrings.xml><?xml version="1.0" encoding="utf-8"?>
<sst xmlns="http://schemas.openxmlformats.org/spreadsheetml/2006/main" count="13" uniqueCount="11">
  <si>
    <t>n=1</t>
    <phoneticPr fontId="1" type="noConversion"/>
  </si>
  <si>
    <t>h=16e-6</t>
    <phoneticPr fontId="1" type="noConversion"/>
  </si>
  <si>
    <t>w=33e-6</t>
    <phoneticPr fontId="1" type="noConversion"/>
  </si>
  <si>
    <t>area=528um</t>
    <phoneticPr fontId="1" type="noConversion"/>
  </si>
  <si>
    <t>Diffusion potential Vdiff (V)</t>
  </si>
  <si>
    <t>Resistance (kOhm)</t>
  </si>
  <si>
    <t>G</t>
    <phoneticPr fontId="1" type="noConversion"/>
  </si>
  <si>
    <t>Temperature (K)</t>
  </si>
  <si>
    <t>Measured potential V0 (V)</t>
  </si>
  <si>
    <t>Redox potential VR (V)</t>
  </si>
  <si>
    <t>Power density (W/m^2)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</si>
</sst>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25" workbookViewId="0">
      <selection activeCell="G31" sqref="G31:I39"/>
    </sheetView>
  </sheetViews>
  <sheetFormatPr defaultRowHeight="14.25" x14ac:dyDescent="0.2"/>
  <cols>
    <col min="3" max="3" width="41.25" bestFit="1" customWidth="1"/>
    <col min="7" max="7" width="13" bestFit="1" customWidth="1"/>
  </cols>
  <sheetData>
    <row r="1" spans="1:7" x14ac:dyDescent="0.2">
      <c r="C1" t="s">
        <v>4</v>
      </c>
      <c r="D1" t="s">
        <v>5</v>
      </c>
      <c r="F1" t="s">
        <v>6</v>
      </c>
    </row>
    <row r="2" spans="1:7" x14ac:dyDescent="0.2">
      <c r="A2" t="s">
        <v>0</v>
      </c>
      <c r="C2">
        <v>7.6999999999999999E-2</v>
      </c>
      <c r="D2">
        <v>291</v>
      </c>
      <c r="F2">
        <f>1/D2</f>
        <v>3.4364261168384879E-3</v>
      </c>
      <c r="G2">
        <f>0.25*((F2*C2^2)/0.000000000528)/1000</f>
        <v>9.6470504009163793</v>
      </c>
    </row>
    <row r="3" spans="1:7" x14ac:dyDescent="0.2">
      <c r="A3" t="s">
        <v>1</v>
      </c>
      <c r="C3">
        <v>7.8E-2</v>
      </c>
      <c r="D3">
        <v>270</v>
      </c>
      <c r="F3">
        <f t="shared" ref="F3:F10" si="0">1/D3</f>
        <v>3.7037037037037038E-3</v>
      </c>
      <c r="G3">
        <f t="shared" ref="G3:G10" si="1">0.25*((F3*C3^2)/0.000000000528)/1000</f>
        <v>10.669191919191919</v>
      </c>
    </row>
    <row r="4" spans="1:7" x14ac:dyDescent="0.2">
      <c r="A4" t="s">
        <v>2</v>
      </c>
      <c r="C4">
        <v>0.08</v>
      </c>
      <c r="D4">
        <v>227</v>
      </c>
      <c r="F4">
        <f t="shared" si="0"/>
        <v>4.4052863436123352E-3</v>
      </c>
      <c r="G4">
        <f t="shared" si="1"/>
        <v>13.349352556401016</v>
      </c>
    </row>
    <row r="5" spans="1:7" x14ac:dyDescent="0.2">
      <c r="A5" t="s">
        <v>3</v>
      </c>
      <c r="C5">
        <v>8.2000000000000003E-2</v>
      </c>
      <c r="D5">
        <v>180</v>
      </c>
      <c r="F5">
        <f t="shared" si="0"/>
        <v>5.5555555555555558E-3</v>
      </c>
      <c r="G5">
        <f t="shared" si="1"/>
        <v>17.687289562289564</v>
      </c>
    </row>
    <row r="6" spans="1:7" x14ac:dyDescent="0.2">
      <c r="C6">
        <v>8.5999999999999993E-2</v>
      </c>
      <c r="D6">
        <v>141</v>
      </c>
      <c r="F6">
        <f t="shared" si="0"/>
        <v>7.0921985815602835E-3</v>
      </c>
      <c r="G6">
        <f t="shared" si="1"/>
        <v>24.836127229744246</v>
      </c>
    </row>
    <row r="7" spans="1:7" x14ac:dyDescent="0.2">
      <c r="C7">
        <v>8.6999999999999994E-2</v>
      </c>
      <c r="D7">
        <v>115</v>
      </c>
      <c r="F7">
        <f t="shared" si="0"/>
        <v>8.6956521739130436E-3</v>
      </c>
      <c r="G7">
        <f t="shared" si="1"/>
        <v>31.16353754940711</v>
      </c>
    </row>
    <row r="8" spans="1:7" x14ac:dyDescent="0.2">
      <c r="C8">
        <v>0.09</v>
      </c>
      <c r="D8">
        <v>94</v>
      </c>
      <c r="F8">
        <f t="shared" si="0"/>
        <v>1.0638297872340425E-2</v>
      </c>
      <c r="G8">
        <f t="shared" si="1"/>
        <v>40.800290135396516</v>
      </c>
    </row>
    <row r="9" spans="1:7" x14ac:dyDescent="0.2">
      <c r="C9">
        <v>9.4E-2</v>
      </c>
      <c r="D9">
        <v>78</v>
      </c>
      <c r="F9">
        <f t="shared" si="0"/>
        <v>1.282051282051282E-2</v>
      </c>
      <c r="G9">
        <f t="shared" si="1"/>
        <v>53.63733488733488</v>
      </c>
    </row>
    <row r="10" spans="1:7" x14ac:dyDescent="0.2">
      <c r="C10">
        <v>9.5000000000000001E-2</v>
      </c>
      <c r="D10">
        <v>65</v>
      </c>
      <c r="F10">
        <f t="shared" si="0"/>
        <v>1.5384615384615385E-2</v>
      </c>
      <c r="G10">
        <f t="shared" si="1"/>
        <v>65.741550116550115</v>
      </c>
    </row>
    <row r="16" spans="1:7" x14ac:dyDescent="0.2">
      <c r="A16" t="s">
        <v>7</v>
      </c>
      <c r="B16" t="s">
        <v>8</v>
      </c>
      <c r="C16" t="s">
        <v>9</v>
      </c>
      <c r="D16" t="s">
        <v>4</v>
      </c>
      <c r="E16" t="s">
        <v>5</v>
      </c>
      <c r="F16" t="s">
        <v>10</v>
      </c>
    </row>
    <row r="17" spans="1:9" x14ac:dyDescent="0.2">
      <c r="A17">
        <v>296</v>
      </c>
      <c r="B17">
        <v>0.17699999999999999</v>
      </c>
      <c r="C17">
        <v>9.9000000000000005E-2</v>
      </c>
      <c r="D17">
        <v>7.6999999999999999E-2</v>
      </c>
      <c r="E17">
        <v>291</v>
      </c>
      <c r="F17">
        <v>9.6</v>
      </c>
    </row>
    <row r="18" spans="1:9" x14ac:dyDescent="0.2">
      <c r="A18">
        <v>298</v>
      </c>
      <c r="B18">
        <v>0.17799999999999999</v>
      </c>
      <c r="C18">
        <v>0.1</v>
      </c>
      <c r="D18">
        <v>7.8E-2</v>
      </c>
      <c r="E18">
        <v>270</v>
      </c>
      <c r="F18">
        <v>10.3</v>
      </c>
    </row>
    <row r="19" spans="1:9" x14ac:dyDescent="0.2">
      <c r="A19">
        <v>303</v>
      </c>
      <c r="B19">
        <v>0.182</v>
      </c>
      <c r="C19">
        <v>0.10199999999999999</v>
      </c>
      <c r="D19">
        <v>0.08</v>
      </c>
      <c r="E19">
        <v>227</v>
      </c>
      <c r="F19">
        <v>13.3</v>
      </c>
    </row>
    <row r="20" spans="1:9" x14ac:dyDescent="0.2">
      <c r="A20">
        <v>308</v>
      </c>
      <c r="B20">
        <v>0.186</v>
      </c>
      <c r="C20">
        <v>0.10299999999999999</v>
      </c>
      <c r="D20">
        <v>8.2000000000000003E-2</v>
      </c>
      <c r="E20">
        <v>180</v>
      </c>
      <c r="F20">
        <v>17.600000000000001</v>
      </c>
    </row>
    <row r="21" spans="1:9" x14ac:dyDescent="0.2">
      <c r="A21">
        <v>313</v>
      </c>
      <c r="B21">
        <v>0.191</v>
      </c>
      <c r="C21">
        <v>0.105</v>
      </c>
      <c r="D21">
        <v>8.5999999999999993E-2</v>
      </c>
      <c r="E21">
        <v>141</v>
      </c>
      <c r="F21">
        <v>24.7</v>
      </c>
    </row>
    <row r="22" spans="1:9" x14ac:dyDescent="0.2">
      <c r="A22">
        <v>318</v>
      </c>
      <c r="B22">
        <v>0.19400000000000001</v>
      </c>
      <c r="C22">
        <v>0.107</v>
      </c>
      <c r="D22">
        <v>8.6999999999999994E-2</v>
      </c>
      <c r="E22">
        <v>115</v>
      </c>
      <c r="F22">
        <v>30.9</v>
      </c>
    </row>
    <row r="23" spans="1:9" x14ac:dyDescent="0.2">
      <c r="A23">
        <v>323</v>
      </c>
      <c r="B23">
        <v>0.19900000000000001</v>
      </c>
      <c r="C23">
        <v>0.109</v>
      </c>
      <c r="D23">
        <v>0.09</v>
      </c>
      <c r="E23">
        <v>94</v>
      </c>
      <c r="F23">
        <v>40.6</v>
      </c>
    </row>
    <row r="24" spans="1:9" x14ac:dyDescent="0.2">
      <c r="A24">
        <v>328</v>
      </c>
      <c r="B24">
        <v>0.20399999999999999</v>
      </c>
      <c r="C24">
        <v>0.11</v>
      </c>
      <c r="D24">
        <v>9.4E-2</v>
      </c>
      <c r="E24">
        <v>78</v>
      </c>
      <c r="F24">
        <v>53.4</v>
      </c>
    </row>
    <row r="25" spans="1:9" x14ac:dyDescent="0.2">
      <c r="A25">
        <v>333</v>
      </c>
      <c r="B25">
        <v>0.20699999999999999</v>
      </c>
      <c r="C25">
        <v>0.112</v>
      </c>
      <c r="D25">
        <v>9.5000000000000001E-2</v>
      </c>
      <c r="E25">
        <v>65</v>
      </c>
      <c r="F25">
        <v>65.099999999999994</v>
      </c>
    </row>
    <row r="31" spans="1:9" x14ac:dyDescent="0.2">
      <c r="G31">
        <v>296</v>
      </c>
      <c r="H31">
        <v>9.6</v>
      </c>
      <c r="I31">
        <v>9.6470504009163793</v>
      </c>
    </row>
    <row r="32" spans="1:9" x14ac:dyDescent="0.2">
      <c r="G32">
        <v>298</v>
      </c>
      <c r="H32">
        <v>10.3</v>
      </c>
      <c r="I32">
        <v>10.669191919191919</v>
      </c>
    </row>
    <row r="33" spans="7:9" x14ac:dyDescent="0.2">
      <c r="G33">
        <v>303</v>
      </c>
      <c r="H33">
        <v>13.3</v>
      </c>
      <c r="I33">
        <v>13.349352556401016</v>
      </c>
    </row>
    <row r="34" spans="7:9" x14ac:dyDescent="0.2">
      <c r="G34">
        <v>308</v>
      </c>
      <c r="H34">
        <v>17.600000000000001</v>
      </c>
      <c r="I34">
        <v>17.687289562289564</v>
      </c>
    </row>
    <row r="35" spans="7:9" x14ac:dyDescent="0.2">
      <c r="G35">
        <v>313</v>
      </c>
      <c r="H35">
        <v>24.7</v>
      </c>
      <c r="I35">
        <v>24.836127229744246</v>
      </c>
    </row>
    <row r="36" spans="7:9" x14ac:dyDescent="0.2">
      <c r="G36">
        <v>318</v>
      </c>
      <c r="H36">
        <v>30.9</v>
      </c>
      <c r="I36">
        <v>31.16353754940711</v>
      </c>
    </row>
    <row r="37" spans="7:9" x14ac:dyDescent="0.2">
      <c r="G37">
        <v>323</v>
      </c>
      <c r="H37">
        <v>40.6</v>
      </c>
      <c r="I37">
        <v>40.800290135396516</v>
      </c>
    </row>
    <row r="38" spans="7:9" x14ac:dyDescent="0.2">
      <c r="G38">
        <v>328</v>
      </c>
      <c r="H38">
        <v>53.4</v>
      </c>
      <c r="I38">
        <v>53.63733488733488</v>
      </c>
    </row>
    <row r="39" spans="7:9" x14ac:dyDescent="0.2">
      <c r="G39">
        <v>333</v>
      </c>
      <c r="H39">
        <v>65.099999999999994</v>
      </c>
      <c r="I39">
        <v>65.741550116550115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2025-11-29T16:55:34Z</dcterms:modified>
</cp:coreProperties>
</file>